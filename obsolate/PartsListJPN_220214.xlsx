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5" yWindow="45" windowWidth="25110" windowHeight="17640"/>
  </bookViews>
  <sheets>
    <sheet name="PartList" sheetId="1" r:id="rId1"/>
  </sheets>
  <calcPr calcId="145621" concurrentCalc="0"/>
</workbook>
</file>

<file path=xl/calcChain.xml><?xml version="1.0" encoding="utf-8"?>
<calcChain xmlns="http://schemas.openxmlformats.org/spreadsheetml/2006/main">
  <c r="J52" i="1" l="1"/>
  <c r="J51" i="1"/>
  <c r="J50" i="1"/>
  <c r="J48" i="1"/>
  <c r="J47" i="1"/>
  <c r="J46" i="1"/>
  <c r="J45" i="1"/>
  <c r="J44" i="1"/>
  <c r="J42" i="1"/>
  <c r="J41" i="1"/>
  <c r="J40" i="1"/>
  <c r="J37" i="1"/>
  <c r="J36" i="1"/>
  <c r="J33" i="1"/>
  <c r="J32" i="1"/>
  <c r="J31" i="1"/>
  <c r="J30" i="1"/>
  <c r="J29" i="1"/>
  <c r="J28" i="1"/>
  <c r="J27" i="1"/>
  <c r="J26" i="1"/>
  <c r="J25" i="1"/>
  <c r="J24" i="1"/>
  <c r="J22" i="1"/>
  <c r="J21" i="1"/>
  <c r="J20" i="1"/>
  <c r="J19" i="1"/>
  <c r="J18" i="1"/>
  <c r="J17" i="1"/>
  <c r="J13" i="1"/>
  <c r="J12" i="1"/>
  <c r="J11" i="1"/>
  <c r="J9" i="1"/>
  <c r="J8" i="1"/>
  <c r="J6" i="1"/>
  <c r="J5" i="1"/>
  <c r="J4" i="1"/>
  <c r="J2" i="1"/>
</calcChain>
</file>

<file path=xl/sharedStrings.xml><?xml version="1.0" encoding="utf-8"?>
<sst xmlns="http://schemas.openxmlformats.org/spreadsheetml/2006/main" count="212" uniqueCount="171">
  <si>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</si>
  <si>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</si>
  <si>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</si>
  <si>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</si>
  <si>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</si>
  <si>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</si>
  <si>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</si>
  <si>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</si>
  <si>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</si>
  <si>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</si>
  <si>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</si>
  <si>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</si>
  <si>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</si>
  <si>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</si>
  <si>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</si>
  <si>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</si>
  <si>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</si>
  <si>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Miuzeiケースセット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</si>
  <si>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</si>
  <si>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RasTec Raspberry Pi 4 ケース ラズベリーパイ 4専用ケースセット 9層アクリルケース 5V 3A USB-Type-C 電源アダプター 冷却ファン ヒートシンク Raspberry Pi 4 Model B対応（Raspberry Pi 4 Model B 本体なし）</t>
    <phoneticPr fontId="2"/>
  </si>
  <si>
    <t>https://www.amazon.co.jp/RasTec-Raspberry-4%E5%B0%82%E7%94%A8%E3%82%B1%E3%83%BC%E3%82%B9%E3%82%BB%E3%83%83%E3%83%88-USB-Type-C-B%E5%AF%BE%E5%BF%9C%EF%BC%88Raspberry/dp/B08FT8CWJ5/ref=sr_1_1_sspa?__mk_ja_JP=%E3%82%AB%E3%82%BF%E3%82%AB%E3%83%8A&amp;dchild=1&amp;keywords=%E3%83%A9%E3%82%BA%E3%83%91%E3%82%A4+%E3%82%B1%E3%83%BC%E3%82%B9&amp;qid=1628234174&amp;sr=8-1-spons&amp;psc=1&amp;spLa=ZW5jcnlwdGVkUXVhbGlmaWVyPUEzU1JCSTYxV1NQOTYxJmVuY3J5cHRlZElkPUEwOTcwMDM2MjNQQVdQTTJSUk9IUSZlbmNyeXB0ZWRBZElkPUFLWUdPRDFCM1JGUlkmd2lkZ2V0TmFtZT1zcF9hdGYmYWN0aW9uPWNsaWNrUmVkaXJlY3QmZG9Ob3RMb2dDbGljaz10cnVl</t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</si>
  <si>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</si>
  <si>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</si>
  <si>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</si>
  <si>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  <phoneticPr fontId="2"/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</si>
  <si>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</si>
  <si>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</si>
  <si>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</si>
  <si>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</si>
  <si>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</si>
  <si>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</si>
  <si>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</si>
  <si>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</si>
  <si>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</si>
  <si>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タッチパネル/操作用</t>
    <rPh sb="7" eb="10">
      <t>ソウサヨウ</t>
    </rPh>
    <phoneticPr fontId="2"/>
  </si>
  <si>
    <t>Eyoyo 10インチモニター 液晶画面HDMI/BNC/VGA/USB 機能付き イヤホン出力 スピーカー内蔵 ディスプレイ (1280x800)</t>
    <phoneticPr fontId="2"/>
  </si>
  <si>
    <t>https://www.amazon.co.jp/Eyoyo-10%E3%82%A4%E3%83%B3%E3%83%81-TFT%E3%83%87%E3%82%A3%E3%82%B9%E3%83%97%E3%83%AC%E3%82%A4-BNC%E5%AF%BE%E5%BF%9C-%E3%82%B9%E3%83%94%E3%83%BC%E3%82%AB%E3%83%BC%E5%86%85%E8%94%B5/dp/B06XK834VC/ref=sr_1_35?__mk_ja_JP=%E3%82%AB%E3%82%BF%E3%82%AB%E3%83%8A&amp;dchild=1&amp;keywords=10.1%E3%82%A4%E3%83%B3%E3%83%81+%E3%83%A2%E3%83%8B%E3%82%BF%E3%83%BC+%281366+x+768+pixels%29&amp;qid=1628235127&amp;refinements=p_n_feature_two_browse-bin%3A5388414051&amp;rnid=5388407051&amp;s=computers&amp;sr=1-35</t>
    <phoneticPr fontId="2"/>
  </si>
  <si>
    <t>マイクロHDMI - HDMIケーブル (0.5m)</t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</si>
  <si>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</si>
  <si>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</si>
  <si>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</si>
  <si>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</si>
  <si>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広角USBカメラ(640 x 480ピクセル以上)</t>
    <rPh sb="0" eb="2">
      <t>コウカク</t>
    </rPh>
    <rPh sb="22" eb="24">
      <t>イジョウ</t>
    </rPh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</si>
  <si>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</si>
  <si>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</si>
  <si>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</si>
  <si>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</si>
  <si>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</si>
  <si>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</si>
  <si>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</si>
  <si>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</si>
  <si>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</si>
  <si>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</si>
  <si>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</si>
  <si>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</si>
  <si>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</si>
  <si>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</si>
  <si>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</si>
  <si>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</si>
  <si>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</si>
  <si>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</si>
  <si>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</si>
  <si>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</si>
  <si>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</si>
  <si>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</si>
  <si>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</si>
  <si>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</si>
  <si>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</si>
  <si>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</si>
  <si>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</si>
  <si>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</si>
  <si>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</si>
  <si>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</si>
  <si>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</si>
  <si>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</si>
  <si>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</si>
  <si>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</si>
  <si>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</si>
  <si>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</si>
  <si>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</si>
  <si>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</si>
  <si>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</si>
  <si>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</si>
  <si>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</si>
  <si>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5mm LED (黄緑色, スモークタイプ)</t>
    <rPh sb="9" eb="11">
      <t>キミドリ</t>
    </rPh>
    <rPh sb="11" eb="12">
      <t>イロ</t>
    </rPh>
    <phoneticPr fontId="2"/>
  </si>
  <si>
    <t>水手がかり用</t>
    <rPh sb="0" eb="1">
      <t>ミズ</t>
    </rPh>
    <rPh sb="1" eb="2">
      <t>テ</t>
    </rPh>
    <rPh sb="5" eb="6">
      <t>ヨウ</t>
    </rPh>
    <phoneticPr fontId="2"/>
  </si>
  <si>
    <t>PG5734SY</t>
    <phoneticPr fontId="2"/>
  </si>
  <si>
    <t>4 white 1 green for each device, I'm using difused one</t>
    <phoneticPr fontId="2"/>
  </si>
  <si>
    <t>https://akizukidenshi.com/catalog/g/gI-11956/</t>
  </si>
  <si>
    <t>5mm LED (白)</t>
    <rPh sb="9" eb="10">
      <t>シロ</t>
    </rPh>
    <phoneticPr fontId="2"/>
  </si>
  <si>
    <t>天井照明用</t>
    <rPh sb="0" eb="2">
      <t>テンジョウ</t>
    </rPh>
    <rPh sb="2" eb="4">
      <t>ショウメイ</t>
    </rPh>
    <rPh sb="4" eb="5">
      <t>ヨウ</t>
    </rPh>
    <phoneticPr fontId="2"/>
  </si>
  <si>
    <t>OSW54K5B61A</t>
    <phoneticPr fontId="2"/>
  </si>
  <si>
    <t>https://akizukidenshi.com/catalog/g/gI-04764/</t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</si>
  <si>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</si>
  <si>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</si>
  <si>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</si>
  <si>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</si>
  <si>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</si>
  <si>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</si>
  <si>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</si>
  <si>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</si>
  <si>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</si>
  <si>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</si>
  <si>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</si>
  <si>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</si>
  <si>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</si>
  <si>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</si>
  <si>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</si>
  <si>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</si>
  <si>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</si>
  <si>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</si>
  <si>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</si>
  <si>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</si>
  <si>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</si>
  <si>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</si>
  <si>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</si>
  <si>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</si>
  <si>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</si>
  <si>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</si>
  <si>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</si>
  <si>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</si>
  <si>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</si>
  <si>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</si>
  <si>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</si>
  <si>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</si>
  <si>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</si>
  <si>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</si>
  <si>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</si>
  <si>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</si>
  <si>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</si>
  <si>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</si>
  <si>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</si>
  <si>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</si>
  <si>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</si>
  <si>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</si>
  <si>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</si>
  <si>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</si>
  <si>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</si>
  <si>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</si>
  <si>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</si>
  <si>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</si>
  <si>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</si>
  <si>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</si>
  <si>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</si>
  <si>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</si>
  <si>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</si>
  <si>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</si>
  <si>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</si>
  <si>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</si>
  <si>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</si>
  <si>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</si>
  <si>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</si>
  <si>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</si>
  <si>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</si>
  <si>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</si>
  <si>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</si>
  <si>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</si>
  <si>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</si>
  <si>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</si>
  <si>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</si>
  <si>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</si>
  <si>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</si>
  <si>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</si>
  <si>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</si>
  <si>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</si>
  <si>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</si>
  <si>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</si>
  <si>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</si>
  <si>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</si>
  <si>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</si>
  <si>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10.1インチモニタ (1366 x 768 ピクセル程度でコネクタが側面に付いていない物を推奨)</t>
    <rPh sb="27" eb="29">
      <t>テイド</t>
    </rPh>
    <rPh sb="35" eb="37">
      <t>ソクメン</t>
    </rPh>
    <rPh sb="38" eb="39">
      <t>ツ</t>
    </rPh>
    <rPh sb="44" eb="45">
      <t>モノ</t>
    </rPh>
    <rPh sb="46" eb="48">
      <t>スイショウ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</si>
</sst>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3" x14ac:knownFonts="1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zoomScale="70" zoomScaleNormal="70" workbookViewId="0">
      <selection activeCell="C12" sqref="C12"/>
    </sheetView>
  </sheetViews>
  <sheetFormatPr defaultColWidth="8.77734375" defaultRowHeight="17.25" x14ac:dyDescent="0.3"/>
  <cols>
    <col min="1" max="1" width="41.5546875" style="7" customWidth="1"/>
    <col min="2" max="2" width="36.21875" customWidth="1"/>
    <col min="3" max="3" width="48.77734375" style="10" bestFit="1" customWidth="1"/>
    <col min="4" max="4" width="43.109375" customWidth="1"/>
    <col min="5" max="5" width="26.44140625" style="10" customWidth="1"/>
    <col min="6" max="6" width="8.33203125" style="10" customWidth="1"/>
    <col min="7" max="7" width="7.88671875" style="16" customWidth="1"/>
    <col min="8" max="8" width="11" customWidth="1"/>
    <col min="9" max="9" width="9.33203125" style="17" bestFit="1" customWidth="1"/>
    <col min="10" max="10" width="10" bestFit="1" customWidth="1"/>
    <col min="11" max="12" width="7.88671875" style="10" customWidth="1"/>
    <col min="14" max="16384" width="8.77734375" style="10"/>
  </cols>
  <sheetData>
    <row r="1" spans="1:13" s="6" customFormat="1" ht="4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2" t="s">
        <v>9</v>
      </c>
      <c r="L1" s="5" t="s">
        <v>10</v>
      </c>
      <c r="M1" s="2"/>
    </row>
    <row r="2" spans="1:13" x14ac:dyDescent="0.3">
      <c r="B2" s="5"/>
      <c r="C2" s="5"/>
      <c r="D2" s="5"/>
      <c r="E2" s="5"/>
      <c r="F2" s="5"/>
      <c r="G2" s="8"/>
      <c r="H2" s="5"/>
      <c r="I2" s="9"/>
      <c r="J2" s="9">
        <f>SUM(J3:J143)</f>
        <v>55878.740000000005</v>
      </c>
      <c r="K2" s="5"/>
      <c r="L2" s="5"/>
      <c r="M2" s="5"/>
    </row>
    <row r="3" spans="1:13" x14ac:dyDescent="0.3">
      <c r="B3" s="5"/>
      <c r="C3" s="5"/>
      <c r="D3" s="5"/>
      <c r="E3" s="5"/>
      <c r="F3" s="5"/>
      <c r="G3" s="8"/>
      <c r="H3" s="5"/>
      <c r="I3" s="9"/>
      <c r="J3" s="5"/>
      <c r="K3" s="5"/>
      <c r="L3" s="5"/>
      <c r="M3" s="5"/>
    </row>
    <row r="4" spans="1:13" s="15" customFormat="1" x14ac:dyDescent="0.3">
      <c r="A4" s="7"/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3">
        <v>1</v>
      </c>
      <c r="H4" s="13">
        <v>1</v>
      </c>
      <c r="I4" s="14">
        <v>9800</v>
      </c>
      <c r="J4" s="12">
        <f>H4*I4</f>
        <v>9800</v>
      </c>
      <c r="K4" s="12"/>
      <c r="L4" s="5" t="s">
        <v>16</v>
      </c>
      <c r="M4" s="12"/>
    </row>
    <row r="5" spans="1:13" s="15" customFormat="1" x14ac:dyDescent="0.3">
      <c r="B5" s="12"/>
      <c r="C5" s="12" t="s">
        <v>17</v>
      </c>
      <c r="D5" s="12" t="s">
        <v>18</v>
      </c>
      <c r="E5" s="12" t="s">
        <v>19</v>
      </c>
      <c r="F5" s="12" t="s">
        <v>15</v>
      </c>
      <c r="G5" s="13">
        <v>1</v>
      </c>
      <c r="H5" s="13">
        <v>1</v>
      </c>
      <c r="I5" s="14">
        <v>1780</v>
      </c>
      <c r="J5" s="12">
        <f t="shared" ref="J5:J6" si="0">H5*I5</f>
        <v>1780</v>
      </c>
      <c r="K5" s="12"/>
      <c r="L5" s="5" t="s">
        <v>20</v>
      </c>
      <c r="M5" s="12"/>
    </row>
    <row r="6" spans="1:13" s="15" customFormat="1" x14ac:dyDescent="0.3">
      <c r="A6" s="7"/>
      <c r="B6" s="12"/>
      <c r="C6" s="12" t="s">
        <v>21</v>
      </c>
      <c r="D6" s="12" t="s">
        <v>22</v>
      </c>
      <c r="E6" s="12" t="s">
        <v>23</v>
      </c>
      <c r="F6" s="12" t="s">
        <v>15</v>
      </c>
      <c r="G6" s="13">
        <v>1</v>
      </c>
      <c r="H6" s="13">
        <v>1</v>
      </c>
      <c r="I6" s="14">
        <v>6898</v>
      </c>
      <c r="J6" s="12">
        <f t="shared" si="0"/>
        <v>6898</v>
      </c>
      <c r="K6" s="12"/>
      <c r="L6" s="5" t="s">
        <v>24</v>
      </c>
      <c r="M6" s="12"/>
    </row>
    <row r="7" spans="1:13" s="15" customFormat="1" x14ac:dyDescent="0.3">
      <c r="A7" s="7"/>
      <c r="B7" s="12"/>
      <c r="C7" s="12"/>
      <c r="D7" s="12"/>
      <c r="E7" s="12"/>
      <c r="F7" s="12"/>
      <c r="G7" s="13"/>
      <c r="H7" s="13"/>
      <c r="I7" s="14"/>
      <c r="J7" s="12"/>
      <c r="K7" s="12"/>
      <c r="L7" s="5"/>
      <c r="M7" s="12"/>
    </row>
    <row r="8" spans="1:13" s="15" customFormat="1" x14ac:dyDescent="0.3">
      <c r="A8" s="7"/>
      <c r="B8" s="12"/>
      <c r="C8" s="12" t="s">
        <v>25</v>
      </c>
      <c r="D8" s="12" t="s">
        <v>26</v>
      </c>
      <c r="E8" s="12" t="s">
        <v>27</v>
      </c>
      <c r="F8" s="12" t="s">
        <v>15</v>
      </c>
      <c r="G8" s="13">
        <v>1</v>
      </c>
      <c r="H8" s="13">
        <v>1</v>
      </c>
      <c r="I8" s="14">
        <v>2930</v>
      </c>
      <c r="J8" s="12">
        <f>H8*I8</f>
        <v>2930</v>
      </c>
      <c r="K8" s="12"/>
      <c r="L8" s="5" t="s">
        <v>28</v>
      </c>
      <c r="M8" s="12"/>
    </row>
    <row r="9" spans="1:13" s="15" customFormat="1" x14ac:dyDescent="0.3">
      <c r="A9" s="7"/>
      <c r="B9" s="12"/>
      <c r="C9" s="12" t="s">
        <v>29</v>
      </c>
      <c r="D9" s="12" t="s">
        <v>30</v>
      </c>
      <c r="E9" s="12" t="s">
        <v>31</v>
      </c>
      <c r="F9" s="12" t="s">
        <v>15</v>
      </c>
      <c r="G9" s="13">
        <v>1</v>
      </c>
      <c r="H9" s="13">
        <v>1</v>
      </c>
      <c r="I9" s="14">
        <v>321</v>
      </c>
      <c r="J9" s="12">
        <f>H9*I9</f>
        <v>321</v>
      </c>
      <c r="K9" s="12"/>
      <c r="L9" s="5" t="s">
        <v>32</v>
      </c>
      <c r="M9" s="12"/>
    </row>
    <row r="10" spans="1:13" s="15" customFormat="1" x14ac:dyDescent="0.3">
      <c r="A10" s="7"/>
      <c r="B10" s="12"/>
      <c r="C10" s="12"/>
      <c r="D10" s="12"/>
      <c r="E10" s="12"/>
      <c r="F10" s="12"/>
      <c r="G10" s="13"/>
      <c r="H10" s="12"/>
      <c r="I10" s="14"/>
      <c r="J10" s="12"/>
      <c r="K10" s="12"/>
      <c r="L10" s="5"/>
      <c r="M10" s="12"/>
    </row>
    <row r="11" spans="1:13" s="15" customFormat="1" x14ac:dyDescent="0.3">
      <c r="A11" s="7"/>
      <c r="B11" s="11" t="s">
        <v>33</v>
      </c>
      <c r="C11" s="12" t="s">
        <v>170</v>
      </c>
      <c r="D11" s="12" t="s">
        <v>34</v>
      </c>
      <c r="E11" s="12" t="s">
        <v>35</v>
      </c>
      <c r="F11" s="12" t="s">
        <v>15</v>
      </c>
      <c r="G11" s="13">
        <v>1</v>
      </c>
      <c r="H11" s="13">
        <v>2</v>
      </c>
      <c r="I11" s="14">
        <v>9777</v>
      </c>
      <c r="J11" s="12">
        <f>H11*I11</f>
        <v>19554</v>
      </c>
      <c r="K11" s="12"/>
      <c r="L11" s="5" t="s">
        <v>36</v>
      </c>
      <c r="M11" s="12"/>
    </row>
    <row r="12" spans="1:13" s="15" customFormat="1" x14ac:dyDescent="0.3">
      <c r="A12" s="7"/>
      <c r="B12" s="12"/>
      <c r="C12" s="12" t="s">
        <v>37</v>
      </c>
      <c r="D12" s="12" t="s">
        <v>38</v>
      </c>
      <c r="E12" s="12" t="s">
        <v>39</v>
      </c>
      <c r="F12" s="12" t="s">
        <v>15</v>
      </c>
      <c r="G12" s="13">
        <v>1</v>
      </c>
      <c r="H12" s="13">
        <v>2</v>
      </c>
      <c r="I12" s="14">
        <v>786</v>
      </c>
      <c r="J12" s="12">
        <f>H12*I12</f>
        <v>1572</v>
      </c>
      <c r="K12" s="12"/>
      <c r="L12" s="5" t="s">
        <v>40</v>
      </c>
      <c r="M12" s="12"/>
    </row>
    <row r="13" spans="1:13" s="15" customFormat="1" x14ac:dyDescent="0.3">
      <c r="A13" s="7"/>
      <c r="B13" s="11" t="s">
        <v>41</v>
      </c>
      <c r="C13" s="12" t="s">
        <v>42</v>
      </c>
      <c r="D13" s="12" t="s">
        <v>43</v>
      </c>
      <c r="E13" s="12" t="s">
        <v>44</v>
      </c>
      <c r="F13" s="12" t="s">
        <v>15</v>
      </c>
      <c r="G13" s="13">
        <v>1</v>
      </c>
      <c r="H13" s="13">
        <v>1</v>
      </c>
      <c r="I13" s="14">
        <v>5499</v>
      </c>
      <c r="J13" s="12">
        <f>H13*I13</f>
        <v>5499</v>
      </c>
      <c r="K13" s="12"/>
      <c r="L13" s="5" t="s">
        <v>45</v>
      </c>
      <c r="M13" s="12"/>
    </row>
    <row r="14" spans="1:13" s="15" customFormat="1" x14ac:dyDescent="0.3">
      <c r="A14" s="7"/>
      <c r="B14" s="12"/>
      <c r="C14" s="12"/>
      <c r="D14" s="12"/>
      <c r="E14" s="12"/>
      <c r="F14" s="12"/>
      <c r="G14" s="13"/>
      <c r="H14" s="13"/>
      <c r="I14" s="14"/>
      <c r="J14" s="12"/>
      <c r="K14" s="12"/>
      <c r="L14" s="5"/>
      <c r="M14" s="12"/>
    </row>
    <row r="15" spans="1:13" s="15" customFormat="1" x14ac:dyDescent="0.3">
      <c r="A15" s="7"/>
      <c r="B15" s="12"/>
      <c r="C15" s="12"/>
      <c r="D15" s="12"/>
      <c r="E15" s="12"/>
      <c r="F15" s="12"/>
      <c r="G15" s="13"/>
      <c r="H15" s="13"/>
      <c r="I15" s="14"/>
      <c r="J15" s="12"/>
      <c r="K15" s="12"/>
      <c r="L15" s="5"/>
      <c r="M15" s="12"/>
    </row>
    <row r="16" spans="1:13" s="15" customFormat="1" x14ac:dyDescent="0.3">
      <c r="A16" s="7"/>
      <c r="B16" s="12"/>
      <c r="C16" s="12"/>
      <c r="D16" s="12"/>
      <c r="E16" s="12"/>
      <c r="F16" s="12"/>
      <c r="G16" s="13"/>
      <c r="H16" s="13"/>
      <c r="I16" s="14"/>
      <c r="J16" s="12"/>
      <c r="K16" s="12"/>
      <c r="L16" s="5"/>
      <c r="M16" s="12"/>
    </row>
    <row r="17" spans="1:13" s="15" customFormat="1" x14ac:dyDescent="0.3">
      <c r="A17" s="7"/>
      <c r="B17" s="11" t="s">
        <v>46</v>
      </c>
      <c r="C17" s="12" t="s">
        <v>47</v>
      </c>
      <c r="D17" s="12" t="s">
        <v>48</v>
      </c>
      <c r="E17" s="12" t="s">
        <v>49</v>
      </c>
      <c r="F17" s="12" t="s">
        <v>50</v>
      </c>
      <c r="G17" s="13">
        <v>1</v>
      </c>
      <c r="H17" s="13">
        <v>1</v>
      </c>
      <c r="I17" s="14">
        <v>90</v>
      </c>
      <c r="J17" s="12">
        <f t="shared" ref="J17:J18" si="1">H17*I17</f>
        <v>90</v>
      </c>
      <c r="K17" s="12"/>
      <c r="L17" s="5" t="s">
        <v>51</v>
      </c>
      <c r="M17" s="12"/>
    </row>
    <row r="18" spans="1:13" s="7" customFormat="1" x14ac:dyDescent="0.3">
      <c r="B18" s="12"/>
      <c r="C18" s="12" t="s">
        <v>52</v>
      </c>
      <c r="D18" s="12" t="s">
        <v>53</v>
      </c>
      <c r="E18" s="12" t="s">
        <v>54</v>
      </c>
      <c r="F18" s="12" t="s">
        <v>50</v>
      </c>
      <c r="G18" s="13">
        <v>1</v>
      </c>
      <c r="H18" s="13">
        <v>1</v>
      </c>
      <c r="I18" s="14">
        <v>1000</v>
      </c>
      <c r="J18" s="12">
        <f t="shared" si="1"/>
        <v>1000</v>
      </c>
      <c r="K18" s="12"/>
      <c r="L18" s="5" t="s">
        <v>55</v>
      </c>
      <c r="M18" s="12"/>
    </row>
    <row r="19" spans="1:13" s="7" customFormat="1" x14ac:dyDescent="0.3">
      <c r="B19" s="12"/>
      <c r="C19" s="12" t="s">
        <v>56</v>
      </c>
      <c r="D19" s="12" t="s">
        <v>57</v>
      </c>
      <c r="E19" s="12" t="s">
        <v>58</v>
      </c>
      <c r="F19" s="12" t="s">
        <v>50</v>
      </c>
      <c r="G19" s="13">
        <v>100</v>
      </c>
      <c r="H19" s="13">
        <v>0.04</v>
      </c>
      <c r="I19" s="14">
        <v>100</v>
      </c>
      <c r="J19" s="12">
        <f>H19*I19</f>
        <v>4</v>
      </c>
      <c r="K19" s="12"/>
      <c r="L19" s="5" t="s">
        <v>59</v>
      </c>
      <c r="M19" s="12"/>
    </row>
    <row r="20" spans="1:13" x14ac:dyDescent="0.3">
      <c r="B20" s="5"/>
      <c r="C20" s="12" t="s">
        <v>60</v>
      </c>
      <c r="D20" s="12" t="s">
        <v>57</v>
      </c>
      <c r="E20" s="5" t="s">
        <v>61</v>
      </c>
      <c r="F20" s="12" t="s">
        <v>50</v>
      </c>
      <c r="G20" s="13">
        <v>100</v>
      </c>
      <c r="H20" s="13">
        <v>0.05</v>
      </c>
      <c r="I20" s="14">
        <v>100</v>
      </c>
      <c r="J20" s="12">
        <f t="shared" ref="J20:J22" si="2">H20*I20</f>
        <v>5</v>
      </c>
      <c r="K20" s="5"/>
      <c r="L20" s="5" t="s">
        <v>62</v>
      </c>
      <c r="M20" s="5"/>
    </row>
    <row r="21" spans="1:13" x14ac:dyDescent="0.3">
      <c r="B21" s="5"/>
      <c r="C21" s="12" t="s">
        <v>63</v>
      </c>
      <c r="D21" s="12" t="s">
        <v>57</v>
      </c>
      <c r="E21" s="5" t="s">
        <v>64</v>
      </c>
      <c r="F21" s="12" t="s">
        <v>50</v>
      </c>
      <c r="G21" s="13">
        <v>100</v>
      </c>
      <c r="H21" s="13">
        <v>0.02</v>
      </c>
      <c r="I21" s="14">
        <v>100</v>
      </c>
      <c r="J21" s="12">
        <f t="shared" si="2"/>
        <v>2</v>
      </c>
      <c r="K21" s="5"/>
      <c r="L21" s="5" t="s">
        <v>65</v>
      </c>
      <c r="M21" s="5"/>
    </row>
    <row r="22" spans="1:13" x14ac:dyDescent="0.3">
      <c r="B22" s="5"/>
      <c r="C22" s="12" t="s">
        <v>66</v>
      </c>
      <c r="D22" s="12" t="s">
        <v>57</v>
      </c>
      <c r="E22" s="5" t="s">
        <v>67</v>
      </c>
      <c r="F22" s="12" t="s">
        <v>50</v>
      </c>
      <c r="G22" s="13">
        <v>100</v>
      </c>
      <c r="H22" s="13">
        <v>0.02</v>
      </c>
      <c r="I22" s="14">
        <v>100</v>
      </c>
      <c r="J22" s="12">
        <f t="shared" si="2"/>
        <v>2</v>
      </c>
      <c r="K22" s="5"/>
      <c r="L22" s="5" t="s">
        <v>68</v>
      </c>
      <c r="M22" s="5"/>
    </row>
    <row r="23" spans="1:13" x14ac:dyDescent="0.3">
      <c r="B23" s="5"/>
      <c r="C23" s="5"/>
      <c r="D23" s="5"/>
      <c r="E23" s="5"/>
      <c r="F23" s="5"/>
      <c r="G23" s="8"/>
      <c r="H23" s="5"/>
      <c r="I23" s="9"/>
      <c r="J23" s="5"/>
      <c r="K23" s="5"/>
      <c r="L23" s="5"/>
      <c r="M23" s="5"/>
    </row>
    <row r="24" spans="1:13" s="7" customFormat="1" x14ac:dyDescent="0.3">
      <c r="B24" s="12"/>
      <c r="C24" s="5" t="s">
        <v>69</v>
      </c>
      <c r="D24" s="12" t="s">
        <v>70</v>
      </c>
      <c r="E24" s="12" t="s">
        <v>71</v>
      </c>
      <c r="F24" s="12" t="s">
        <v>50</v>
      </c>
      <c r="G24" s="13">
        <v>1</v>
      </c>
      <c r="H24" s="13">
        <v>0.3</v>
      </c>
      <c r="I24" s="14">
        <v>40</v>
      </c>
      <c r="J24" s="12">
        <f t="shared" ref="J24:J33" si="3">H24*I24</f>
        <v>12</v>
      </c>
      <c r="K24" s="12"/>
      <c r="L24" s="5" t="s">
        <v>72</v>
      </c>
      <c r="M24" s="12"/>
    </row>
    <row r="25" spans="1:13" x14ac:dyDescent="0.3">
      <c r="C25" s="5" t="s">
        <v>73</v>
      </c>
      <c r="D25" s="12" t="s">
        <v>70</v>
      </c>
      <c r="E25" s="10" t="s">
        <v>74</v>
      </c>
      <c r="F25" s="12" t="s">
        <v>50</v>
      </c>
      <c r="G25" s="16">
        <v>1</v>
      </c>
      <c r="H25" s="13">
        <v>0.1</v>
      </c>
      <c r="I25" s="17">
        <v>50</v>
      </c>
      <c r="J25" s="12">
        <f t="shared" si="3"/>
        <v>5</v>
      </c>
      <c r="L25" s="10" t="s">
        <v>75</v>
      </c>
    </row>
    <row r="26" spans="1:13" s="7" customFormat="1" x14ac:dyDescent="0.3">
      <c r="B26" s="12"/>
      <c r="C26" s="12" t="s">
        <v>76</v>
      </c>
      <c r="D26" s="12" t="s">
        <v>77</v>
      </c>
      <c r="E26" s="12" t="s">
        <v>78</v>
      </c>
      <c r="F26" s="12" t="s">
        <v>15</v>
      </c>
      <c r="G26" s="13">
        <v>10</v>
      </c>
      <c r="H26" s="13">
        <v>0.3</v>
      </c>
      <c r="I26" s="13">
        <v>290</v>
      </c>
      <c r="J26" s="12">
        <f t="shared" si="3"/>
        <v>87</v>
      </c>
      <c r="K26" s="12"/>
      <c r="L26" s="5" t="s">
        <v>79</v>
      </c>
      <c r="M26" s="12"/>
    </row>
    <row r="27" spans="1:13" s="7" customFormat="1" x14ac:dyDescent="0.3">
      <c r="B27" s="12"/>
      <c r="C27" s="12" t="s">
        <v>80</v>
      </c>
      <c r="D27" s="12" t="s">
        <v>81</v>
      </c>
      <c r="E27" s="12" t="s">
        <v>82</v>
      </c>
      <c r="F27" s="12" t="s">
        <v>15</v>
      </c>
      <c r="G27" s="13">
        <v>120</v>
      </c>
      <c r="H27" s="13">
        <v>0.1</v>
      </c>
      <c r="I27" s="13">
        <v>589</v>
      </c>
      <c r="J27" s="12">
        <f t="shared" si="3"/>
        <v>58.900000000000006</v>
      </c>
      <c r="K27" s="12"/>
      <c r="L27" s="5" t="s">
        <v>83</v>
      </c>
      <c r="M27" s="12"/>
    </row>
    <row r="28" spans="1:13" s="15" customFormat="1" x14ac:dyDescent="0.3">
      <c r="A28" s="7"/>
      <c r="B28" s="12"/>
      <c r="C28" s="12" t="s">
        <v>84</v>
      </c>
      <c r="D28" s="12" t="s">
        <v>85</v>
      </c>
      <c r="E28" s="12" t="s">
        <v>86</v>
      </c>
      <c r="F28" s="12" t="s">
        <v>50</v>
      </c>
      <c r="G28" s="13">
        <v>1</v>
      </c>
      <c r="H28" s="13">
        <v>1</v>
      </c>
      <c r="I28" s="13">
        <v>10</v>
      </c>
      <c r="J28" s="12">
        <f t="shared" si="3"/>
        <v>10</v>
      </c>
      <c r="K28" s="12" t="s">
        <v>87</v>
      </c>
      <c r="L28" s="5" t="s">
        <v>88</v>
      </c>
      <c r="M28" s="12"/>
    </row>
    <row r="29" spans="1:13" x14ac:dyDescent="0.3">
      <c r="B29" s="5"/>
      <c r="C29" s="12" t="s">
        <v>89</v>
      </c>
      <c r="D29" s="12" t="s">
        <v>90</v>
      </c>
      <c r="E29" s="5" t="s">
        <v>91</v>
      </c>
      <c r="F29" s="12" t="s">
        <v>50</v>
      </c>
      <c r="G29" s="8">
        <v>10</v>
      </c>
      <c r="H29" s="13">
        <v>0.5</v>
      </c>
      <c r="I29" s="9">
        <v>250</v>
      </c>
      <c r="J29" s="12">
        <f t="shared" si="3"/>
        <v>125</v>
      </c>
      <c r="K29" s="5"/>
      <c r="L29" s="5" t="s">
        <v>92</v>
      </c>
      <c r="M29" s="5"/>
    </row>
    <row r="30" spans="1:13" s="7" customFormat="1" x14ac:dyDescent="0.3">
      <c r="B30" s="12"/>
      <c r="C30" s="12" t="s">
        <v>93</v>
      </c>
      <c r="D30" s="12" t="s">
        <v>94</v>
      </c>
      <c r="E30" s="12" t="s">
        <v>95</v>
      </c>
      <c r="F30" s="12" t="s">
        <v>50</v>
      </c>
      <c r="G30" s="13">
        <v>5</v>
      </c>
      <c r="H30" s="13">
        <v>1</v>
      </c>
      <c r="I30" s="13">
        <v>100</v>
      </c>
      <c r="J30" s="12">
        <f t="shared" si="3"/>
        <v>100</v>
      </c>
      <c r="K30" s="12"/>
      <c r="L30" s="5" t="s">
        <v>96</v>
      </c>
      <c r="M30" s="12"/>
    </row>
    <row r="31" spans="1:13" x14ac:dyDescent="0.3">
      <c r="B31" s="5"/>
      <c r="C31" s="5" t="s">
        <v>97</v>
      </c>
      <c r="D31" s="12" t="s">
        <v>98</v>
      </c>
      <c r="E31" s="5" t="s">
        <v>99</v>
      </c>
      <c r="F31" s="12" t="s">
        <v>15</v>
      </c>
      <c r="G31" s="8">
        <v>4</v>
      </c>
      <c r="H31" s="13">
        <v>0.25</v>
      </c>
      <c r="I31" s="9">
        <v>1350</v>
      </c>
      <c r="J31" s="12">
        <f t="shared" si="3"/>
        <v>337.5</v>
      </c>
      <c r="K31" s="5"/>
      <c r="L31" s="5" t="s">
        <v>100</v>
      </c>
      <c r="M31" s="5"/>
    </row>
    <row r="32" spans="1:13" s="7" customFormat="1" x14ac:dyDescent="0.3">
      <c r="B32" s="12"/>
      <c r="C32" s="12" t="s">
        <v>101</v>
      </c>
      <c r="D32" s="12" t="s">
        <v>57</v>
      </c>
      <c r="E32" s="12" t="s">
        <v>102</v>
      </c>
      <c r="F32" s="12" t="s">
        <v>50</v>
      </c>
      <c r="G32" s="13">
        <v>1</v>
      </c>
      <c r="H32" s="13">
        <v>0.1</v>
      </c>
      <c r="I32" s="13">
        <v>600</v>
      </c>
      <c r="J32" s="12">
        <f t="shared" si="3"/>
        <v>60</v>
      </c>
      <c r="K32" s="12"/>
      <c r="L32" s="5" t="s">
        <v>103</v>
      </c>
      <c r="M32" s="12"/>
    </row>
    <row r="33" spans="1:13" s="7" customFormat="1" x14ac:dyDescent="0.3">
      <c r="B33" s="12"/>
      <c r="C33" s="12" t="s">
        <v>104</v>
      </c>
      <c r="D33" s="12" t="s">
        <v>57</v>
      </c>
      <c r="E33" s="12"/>
      <c r="F33" s="12" t="s">
        <v>50</v>
      </c>
      <c r="G33" s="13">
        <v>1</v>
      </c>
      <c r="H33" s="13">
        <v>0.1</v>
      </c>
      <c r="I33" s="13">
        <v>600</v>
      </c>
      <c r="J33" s="12">
        <f t="shared" si="3"/>
        <v>60</v>
      </c>
      <c r="K33" s="12"/>
      <c r="L33" s="5" t="s">
        <v>105</v>
      </c>
      <c r="M33" s="12"/>
    </row>
    <row r="34" spans="1:13" s="15" customFormat="1" x14ac:dyDescent="0.3">
      <c r="A34" s="7"/>
      <c r="B34" s="12"/>
      <c r="C34" s="12"/>
      <c r="D34" s="12"/>
      <c r="E34" s="12"/>
      <c r="F34" s="12"/>
      <c r="G34" s="13"/>
      <c r="H34" s="13"/>
      <c r="I34" s="14"/>
      <c r="J34" s="12"/>
      <c r="K34" s="12"/>
      <c r="L34" s="5"/>
      <c r="M34" s="12"/>
    </row>
    <row r="35" spans="1:13" s="15" customFormat="1" x14ac:dyDescent="0.3">
      <c r="A35" s="7"/>
      <c r="B35" s="12"/>
      <c r="C35" s="12"/>
      <c r="D35" s="12"/>
      <c r="E35" s="12"/>
      <c r="F35" s="12"/>
      <c r="G35" s="13"/>
      <c r="H35" s="13"/>
      <c r="I35" s="14"/>
      <c r="J35" s="12"/>
      <c r="K35" s="12"/>
      <c r="L35" s="5"/>
      <c r="M35" s="12"/>
    </row>
    <row r="36" spans="1:13" s="7" customFormat="1" x14ac:dyDescent="0.3">
      <c r="B36" s="11" t="s">
        <v>106</v>
      </c>
      <c r="C36" s="12" t="s">
        <v>107</v>
      </c>
      <c r="D36" s="12" t="s">
        <v>108</v>
      </c>
      <c r="E36" s="12" t="s">
        <v>109</v>
      </c>
      <c r="F36" s="12" t="s">
        <v>15</v>
      </c>
      <c r="G36" s="13">
        <v>2</v>
      </c>
      <c r="H36" s="13">
        <v>0.5</v>
      </c>
      <c r="I36" s="14">
        <v>3628</v>
      </c>
      <c r="J36" s="12">
        <f t="shared" ref="J36:J37" si="4">H36*I36</f>
        <v>1814</v>
      </c>
      <c r="K36" s="12"/>
      <c r="L36" s="5" t="s">
        <v>110</v>
      </c>
      <c r="M36" s="12"/>
    </row>
    <row r="37" spans="1:13" s="7" customFormat="1" x14ac:dyDescent="0.3">
      <c r="B37" s="12"/>
      <c r="C37" s="12" t="s">
        <v>111</v>
      </c>
      <c r="D37" s="12" t="s">
        <v>112</v>
      </c>
      <c r="E37" s="12" t="s">
        <v>113</v>
      </c>
      <c r="F37" s="12" t="s">
        <v>15</v>
      </c>
      <c r="G37" s="13">
        <v>12</v>
      </c>
      <c r="H37" s="13">
        <v>8.3000000000000004E-2</v>
      </c>
      <c r="I37" s="14">
        <v>1380</v>
      </c>
      <c r="J37" s="12">
        <f t="shared" si="4"/>
        <v>114.54</v>
      </c>
      <c r="K37" s="12"/>
      <c r="L37" s="5" t="s">
        <v>114</v>
      </c>
      <c r="M37" s="12"/>
    </row>
    <row r="38" spans="1:13" s="15" customFormat="1" x14ac:dyDescent="0.3">
      <c r="A38" s="7"/>
      <c r="B38" s="12"/>
      <c r="C38" s="12" t="s">
        <v>115</v>
      </c>
      <c r="D38" s="12"/>
      <c r="E38" s="12"/>
      <c r="F38" s="12"/>
      <c r="G38" s="13">
        <v>1</v>
      </c>
      <c r="H38" s="13">
        <v>1</v>
      </c>
      <c r="I38" s="14"/>
      <c r="J38" s="12"/>
      <c r="K38" s="12"/>
      <c r="L38" s="5"/>
      <c r="M38" s="12"/>
    </row>
    <row r="39" spans="1:13" s="15" customFormat="1" x14ac:dyDescent="0.3">
      <c r="A39" s="7"/>
      <c r="B39" s="12"/>
      <c r="C39" s="12" t="s">
        <v>116</v>
      </c>
      <c r="D39" s="12"/>
      <c r="E39" s="12"/>
      <c r="F39" s="12"/>
      <c r="G39" s="13">
        <v>1</v>
      </c>
      <c r="H39" s="13">
        <v>1</v>
      </c>
      <c r="I39" s="14"/>
      <c r="J39" s="12"/>
      <c r="K39" s="12"/>
      <c r="L39" s="5"/>
      <c r="M39" s="12"/>
    </row>
    <row r="40" spans="1:13" s="15" customFormat="1" x14ac:dyDescent="0.3">
      <c r="A40" s="7"/>
      <c r="B40" s="12"/>
      <c r="C40" s="12" t="s">
        <v>117</v>
      </c>
      <c r="D40" s="12" t="s">
        <v>118</v>
      </c>
      <c r="E40" s="12" t="s">
        <v>119</v>
      </c>
      <c r="F40" s="12" t="s">
        <v>120</v>
      </c>
      <c r="G40" s="13">
        <v>1</v>
      </c>
      <c r="H40" s="13">
        <v>1</v>
      </c>
      <c r="I40" s="13">
        <v>475</v>
      </c>
      <c r="J40" s="12">
        <f t="shared" ref="J40:J42" si="5">H40*I40</f>
        <v>475</v>
      </c>
      <c r="K40" s="12"/>
      <c r="L40" s="5" t="s">
        <v>121</v>
      </c>
      <c r="M40" s="12"/>
    </row>
    <row r="41" spans="1:13" s="7" customFormat="1" x14ac:dyDescent="0.3">
      <c r="B41" s="12"/>
      <c r="C41" s="12" t="s">
        <v>122</v>
      </c>
      <c r="D41" s="12" t="s">
        <v>123</v>
      </c>
      <c r="E41" s="12" t="s">
        <v>124</v>
      </c>
      <c r="F41" s="12" t="s">
        <v>125</v>
      </c>
      <c r="G41" s="13">
        <v>1</v>
      </c>
      <c r="H41" s="13">
        <v>1.5</v>
      </c>
      <c r="I41" s="13">
        <v>253</v>
      </c>
      <c r="J41" s="12">
        <f t="shared" si="5"/>
        <v>379.5</v>
      </c>
      <c r="K41" s="12"/>
      <c r="L41" s="5" t="s">
        <v>126</v>
      </c>
      <c r="M41" s="12"/>
    </row>
    <row r="42" spans="1:13" s="7" customFormat="1" x14ac:dyDescent="0.3">
      <c r="B42" s="12"/>
      <c r="C42" s="12" t="s">
        <v>127</v>
      </c>
      <c r="D42" s="12" t="s">
        <v>128</v>
      </c>
      <c r="E42" s="12" t="s">
        <v>129</v>
      </c>
      <c r="F42" s="12" t="s">
        <v>125</v>
      </c>
      <c r="G42" s="13">
        <v>1</v>
      </c>
      <c r="H42" s="13">
        <v>1</v>
      </c>
      <c r="I42" s="14">
        <v>973</v>
      </c>
      <c r="J42" s="12">
        <f t="shared" si="5"/>
        <v>973</v>
      </c>
      <c r="K42" s="12"/>
      <c r="L42" s="5" t="s">
        <v>130</v>
      </c>
      <c r="M42" s="12"/>
    </row>
    <row r="43" spans="1:13" s="7" customFormat="1" x14ac:dyDescent="0.3">
      <c r="B43" s="12"/>
      <c r="C43" s="12"/>
      <c r="D43" s="12"/>
      <c r="E43" s="12"/>
      <c r="F43" s="12"/>
      <c r="G43" s="13"/>
      <c r="H43" s="13"/>
      <c r="I43" s="14"/>
      <c r="J43" s="12"/>
      <c r="K43" s="12"/>
      <c r="L43" s="5"/>
      <c r="M43" s="12"/>
    </row>
    <row r="44" spans="1:13" s="7" customFormat="1" x14ac:dyDescent="0.3">
      <c r="B44" s="11" t="s">
        <v>131</v>
      </c>
      <c r="C44" s="12" t="s">
        <v>132</v>
      </c>
      <c r="D44" s="12" t="s">
        <v>133</v>
      </c>
      <c r="E44" s="12"/>
      <c r="F44" s="12" t="s">
        <v>134</v>
      </c>
      <c r="G44" s="13">
        <v>20</v>
      </c>
      <c r="H44" s="13">
        <v>1</v>
      </c>
      <c r="I44" s="14">
        <v>6</v>
      </c>
      <c r="J44" s="12">
        <f t="shared" ref="J44:J46" si="6">H44*I44</f>
        <v>6</v>
      </c>
      <c r="K44" s="12"/>
      <c r="L44" s="5" t="s">
        <v>135</v>
      </c>
      <c r="M44" s="12"/>
    </row>
    <row r="45" spans="1:13" s="7" customFormat="1" x14ac:dyDescent="0.3">
      <c r="B45" s="12"/>
      <c r="C45" s="12" t="s">
        <v>136</v>
      </c>
      <c r="D45" s="12" t="s">
        <v>137</v>
      </c>
      <c r="E45" s="12"/>
      <c r="F45" s="12" t="s">
        <v>134</v>
      </c>
      <c r="G45" s="13">
        <v>10</v>
      </c>
      <c r="H45" s="13">
        <v>1</v>
      </c>
      <c r="I45" s="14">
        <v>13</v>
      </c>
      <c r="J45" s="12">
        <f t="shared" si="6"/>
        <v>13</v>
      </c>
      <c r="K45" s="12"/>
      <c r="L45" s="5" t="s">
        <v>135</v>
      </c>
      <c r="M45" s="12"/>
    </row>
    <row r="46" spans="1:13" s="7" customFormat="1" x14ac:dyDescent="0.3">
      <c r="B46" s="12"/>
      <c r="C46" s="12" t="s">
        <v>138</v>
      </c>
      <c r="D46" s="12" t="s">
        <v>139</v>
      </c>
      <c r="E46" s="12"/>
      <c r="F46" s="12" t="s">
        <v>134</v>
      </c>
      <c r="G46" s="13">
        <v>1</v>
      </c>
      <c r="H46" s="13">
        <v>1</v>
      </c>
      <c r="I46" s="14">
        <v>5</v>
      </c>
      <c r="J46" s="14">
        <f t="shared" si="6"/>
        <v>5</v>
      </c>
      <c r="K46" s="12"/>
      <c r="L46" s="5" t="s">
        <v>135</v>
      </c>
      <c r="M46" s="12"/>
    </row>
    <row r="47" spans="1:13" s="7" customFormat="1" x14ac:dyDescent="0.3">
      <c r="B47" s="12"/>
      <c r="C47" s="12" t="s">
        <v>140</v>
      </c>
      <c r="D47" s="12" t="s">
        <v>141</v>
      </c>
      <c r="E47" s="12"/>
      <c r="F47" s="12" t="s">
        <v>134</v>
      </c>
      <c r="G47" s="13">
        <v>20</v>
      </c>
      <c r="H47" s="13">
        <v>1</v>
      </c>
      <c r="I47" s="14">
        <v>8</v>
      </c>
      <c r="J47" s="12">
        <f>H47*I47</f>
        <v>8</v>
      </c>
      <c r="K47" s="12"/>
      <c r="L47" s="5" t="s">
        <v>142</v>
      </c>
      <c r="M47" s="12"/>
    </row>
    <row r="48" spans="1:13" s="7" customFormat="1" x14ac:dyDescent="0.3">
      <c r="B48" s="12"/>
      <c r="C48" s="12" t="s">
        <v>143</v>
      </c>
      <c r="D48" s="12" t="s">
        <v>144</v>
      </c>
      <c r="E48" s="12"/>
      <c r="F48" s="12" t="s">
        <v>134</v>
      </c>
      <c r="G48" s="13">
        <v>11</v>
      </c>
      <c r="H48" s="13">
        <v>1</v>
      </c>
      <c r="I48" s="14">
        <v>3</v>
      </c>
      <c r="J48" s="12">
        <f>H48*I48</f>
        <v>3</v>
      </c>
      <c r="K48" s="12"/>
      <c r="L48" s="5" t="s">
        <v>142</v>
      </c>
      <c r="M48" s="12"/>
    </row>
    <row r="49" spans="1:13" s="15" customFormat="1" x14ac:dyDescent="0.3">
      <c r="A49" s="7"/>
      <c r="B49" s="12"/>
      <c r="C49" s="12"/>
      <c r="D49" s="12"/>
      <c r="E49" s="12"/>
      <c r="F49" s="12"/>
      <c r="G49" s="13"/>
      <c r="H49" s="12"/>
      <c r="I49" s="14"/>
      <c r="J49" s="12"/>
      <c r="K49" s="12"/>
      <c r="L49" s="5"/>
      <c r="M49" s="12"/>
    </row>
    <row r="50" spans="1:13" s="7" customFormat="1" x14ac:dyDescent="0.3">
      <c r="A50" s="12" t="s">
        <v>145</v>
      </c>
      <c r="C50" s="12" t="s">
        <v>146</v>
      </c>
      <c r="D50" s="12" t="s">
        <v>147</v>
      </c>
      <c r="E50" s="12" t="s">
        <v>148</v>
      </c>
      <c r="F50" s="12" t="s">
        <v>149</v>
      </c>
      <c r="G50" s="13">
        <v>1</v>
      </c>
      <c r="H50" s="13">
        <v>4.1000000000000002E-2</v>
      </c>
      <c r="I50" s="14">
        <v>4800</v>
      </c>
      <c r="J50" s="12">
        <f>H50*I50</f>
        <v>196.8</v>
      </c>
      <c r="K50" s="12"/>
      <c r="L50" s="5" t="s">
        <v>150</v>
      </c>
      <c r="M50" s="12"/>
    </row>
    <row r="51" spans="1:13" s="7" customFormat="1" x14ac:dyDescent="0.3">
      <c r="A51" s="12"/>
      <c r="C51" s="12" t="s">
        <v>151</v>
      </c>
      <c r="D51" s="12" t="s">
        <v>152</v>
      </c>
      <c r="E51" s="12"/>
      <c r="F51" s="12" t="s">
        <v>149</v>
      </c>
      <c r="G51" s="13">
        <v>1</v>
      </c>
      <c r="H51" s="13">
        <v>1</v>
      </c>
      <c r="I51" s="13">
        <v>429</v>
      </c>
      <c r="J51" s="12">
        <f>H51*I51</f>
        <v>429</v>
      </c>
      <c r="K51" s="12"/>
      <c r="L51" s="5" t="s">
        <v>153</v>
      </c>
      <c r="M51" s="12"/>
    </row>
    <row r="52" spans="1:13" s="15" customFormat="1" x14ac:dyDescent="0.3">
      <c r="A52" s="12"/>
      <c r="C52" s="12" t="s">
        <v>154</v>
      </c>
      <c r="D52" s="12" t="s">
        <v>155</v>
      </c>
      <c r="E52" s="12" t="s">
        <v>156</v>
      </c>
      <c r="F52" s="12" t="s">
        <v>149</v>
      </c>
      <c r="G52" s="13">
        <v>1</v>
      </c>
      <c r="H52" s="13">
        <v>0.5</v>
      </c>
      <c r="I52" s="14">
        <v>2299</v>
      </c>
      <c r="J52" s="12">
        <f>H52*I52</f>
        <v>1149.5</v>
      </c>
      <c r="K52" s="12"/>
      <c r="L52" s="5" t="s">
        <v>157</v>
      </c>
      <c r="M52" s="12"/>
    </row>
    <row r="53" spans="1:13" s="7" customFormat="1" x14ac:dyDescent="0.3">
      <c r="A53" s="12" t="s">
        <v>145</v>
      </c>
      <c r="C53" s="12" t="s">
        <v>158</v>
      </c>
      <c r="D53" s="12" t="s">
        <v>159</v>
      </c>
      <c r="E53" s="12"/>
      <c r="F53" s="12"/>
      <c r="G53" s="13">
        <v>1</v>
      </c>
      <c r="H53" s="13">
        <v>1</v>
      </c>
      <c r="I53" s="13"/>
      <c r="J53" s="12"/>
      <c r="K53" s="12"/>
      <c r="L53" s="5"/>
      <c r="M53" s="12"/>
    </row>
    <row r="54" spans="1:13" x14ac:dyDescent="0.3">
      <c r="L54" s="5"/>
    </row>
    <row r="55" spans="1:13" s="15" customFormat="1" x14ac:dyDescent="0.3">
      <c r="A55" s="7"/>
      <c r="B55" s="7"/>
      <c r="D55" s="7"/>
      <c r="F55" s="18"/>
      <c r="G55" s="19"/>
      <c r="H55" s="19"/>
      <c r="I55" s="20"/>
      <c r="M55" s="7"/>
    </row>
    <row r="57" spans="1:13" x14ac:dyDescent="0.3">
      <c r="A57" s="7" t="s">
        <v>169</v>
      </c>
      <c r="B57" s="21" t="s">
        <v>168</v>
      </c>
      <c r="C57" s="10" t="s">
        <v>160</v>
      </c>
      <c r="D57" t="s">
        <v>161</v>
      </c>
      <c r="E57" s="10" t="s">
        <v>162</v>
      </c>
      <c r="I57" s="17">
        <v>947</v>
      </c>
      <c r="L57" s="10" t="s">
        <v>163</v>
      </c>
    </row>
    <row r="58" spans="1:13" x14ac:dyDescent="0.3">
      <c r="B58" s="22"/>
      <c r="C58" s="23" t="s">
        <v>164</v>
      </c>
      <c r="D58" t="s">
        <v>165</v>
      </c>
      <c r="E58" s="10" t="s">
        <v>166</v>
      </c>
      <c r="I58" s="17">
        <v>253</v>
      </c>
      <c r="L58" s="10" t="s">
        <v>167</v>
      </c>
    </row>
  </sheetData>
  <phoneticPr fontId="2"/>
  <hyperlinks>
    <hyperlink ref="L8" display="https://www.amazon.co.jp/Arduino-Rev3-ATmega328-%E3%83%9E%E3%82%A4%E3%82%B3%E3%83%B3%E3%83%9C%E3%83%BC%E3%83%89-A000066/dp/B008GRTSV6/ref=sr_1_6?__mk_ja_JP=%E3%82%AB%E3%82%BF%E3%82%AB%E3%83%8A&amp;dchild=1&amp;keywords=%E3%82%A2%E3%83%AB%E3%83%87%E3%82%A3%E3%83%B"/>
    <hyperlink ref="L32" r:id="rId1"/>
    <hyperlink ref="L4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2022-02-15T01:59:22Z</dcterms:modified>
</cp:coreProperties>
</file>